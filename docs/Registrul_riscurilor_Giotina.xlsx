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u" sheetId="1" state="visible" r:id="rId1"/>
    <sheet xmlns:r="http://schemas.openxmlformats.org/officeDocument/2006/relationships" name="Matrice" sheetId="2" state="visible" r:id="rId2"/>
    <sheet xmlns:r="http://schemas.openxmlformats.org/officeDocument/2006/relationships" name="Scale" sheetId="3" state="visible" r:id="rId3"/>
    <sheet xmlns:r="http://schemas.openxmlformats.org/officeDocument/2006/relationships" name="RBS" sheetId="4" state="visible" r:id="rId4"/>
  </sheets>
  <definedNames>
    <definedName name="_xlnm._FilterDatabase" localSheetId="0" hidden="1">'Registru'!$A$1:$N$11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sz val="13"/>
    </font>
    <font>
      <color rgb="001B2A3A"/>
    </font>
    <font>
      <color rgb="00FFFFFF"/>
    </font>
    <font>
      <b val="1"/>
      <color rgb="001B2A3A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D0543B"/>
      </patternFill>
    </fill>
    <fill>
      <patternFill patternType="solid">
        <fgColor rgb="00EFA65A"/>
      </patternFill>
    </fill>
    <fill>
      <patternFill patternType="solid">
        <fgColor rgb="00F9E3A1"/>
      </patternFill>
    </fill>
    <fill>
      <patternFill patternType="solid">
        <fgColor rgb="00D4E8D4"/>
      </patternFill>
    </fill>
  </fills>
  <borders count="2">
    <border>
      <left/>
      <right/>
      <top/>
      <bottom/>
      <diagonal/>
    </border>
    <border>
      <left style="thin">
        <color rgb="008A9BB0"/>
      </left>
      <right style="thin">
        <color rgb="008A9BB0"/>
      </right>
      <top style="thin">
        <color rgb="008A9BB0"/>
      </top>
      <bottom style="thin">
        <color rgb="008A9BB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12" customWidth="1" min="4" max="4"/>
    <col width="10" customWidth="1" min="5" max="5"/>
    <col width="9" customWidth="1" min="6" max="6"/>
    <col width="9" customWidth="1" min="7" max="7"/>
    <col width="9" customWidth="1" min="8" max="8"/>
    <col width="10" customWidth="1" min="9" max="9"/>
    <col width="18" customWidth="1" min="10" max="10"/>
    <col width="60" customWidth="1" min="11" max="11"/>
    <col width="30" customWidth="1" min="12" max="12"/>
    <col width="14" customWidth="1" min="13" max="13"/>
    <col width="11" customWidth="1" min="14" max="14"/>
  </cols>
  <sheetData>
    <row r="1">
      <c r="A1" s="1" t="inlineStr">
        <is>
          <t>ID</t>
        </is>
      </c>
      <c r="B1" s="1" t="inlineStr">
        <is>
          <t>Categorie (RBS)</t>
        </is>
      </c>
      <c r="C1" s="1" t="inlineStr">
        <is>
          <t>Risc (cauză → eveniment → efect)</t>
        </is>
      </c>
      <c r="D1" s="1" t="inlineStr">
        <is>
          <t>Legătura cu WBS</t>
        </is>
      </c>
      <c r="E1" s="1" t="inlineStr">
        <is>
          <t>Tip</t>
        </is>
      </c>
      <c r="F1" s="1" t="inlineStr">
        <is>
          <t>Probabilitate (P)</t>
        </is>
      </c>
      <c r="G1" s="1" t="inlineStr">
        <is>
          <t>Impact (I)</t>
        </is>
      </c>
      <c r="H1" s="1" t="inlineStr">
        <is>
          <t>Scor (P × I)</t>
        </is>
      </c>
      <c r="I1" s="1" t="inlineStr">
        <is>
          <t>Zonă</t>
        </is>
      </c>
      <c r="J1" s="1" t="inlineStr">
        <is>
          <t>Strategie</t>
        </is>
      </c>
      <c r="K1" s="1" t="inlineStr">
        <is>
          <t>Acțiuni de răspuns</t>
        </is>
      </c>
      <c r="L1" s="1" t="inlineStr">
        <is>
          <t>Declanșator</t>
        </is>
      </c>
      <c r="M1" s="1" t="inlineStr">
        <is>
          <t>Responsabil</t>
        </is>
      </c>
      <c r="N1" s="1" t="inlineStr">
        <is>
          <t>Stare</t>
        </is>
      </c>
    </row>
    <row r="2">
      <c r="A2" s="2" t="inlineStr">
        <is>
          <t>R1</t>
        </is>
      </c>
      <c r="B2" s="2" t="inlineStr">
        <is>
          <t>P1 Estimare</t>
        </is>
      </c>
      <c r="C2" s="2" t="inlineStr">
        <is>
          <t>Backend-ul și aplicația mobilă (332 h în WBS) depind de multe biblioteci și servicii externe (Expo, camera, citirea codurilor de bare, notificări) și sunt făcute de o echipă de o persoană; efortul poate fi subestimat, iar MVP-ul nu e gata la 31.03.2027 (O3).</t>
        </is>
      </c>
      <c r="D2" s="2" t="inlineStr">
        <is>
          <t>1.5, 1.6</t>
        </is>
      </c>
      <c r="E2" s="2" t="inlineStr">
        <is>
          <t>proiect</t>
        </is>
      </c>
      <c r="F2" s="3" t="n">
        <v>4</v>
      </c>
      <c r="G2" s="3" t="n">
        <v>4</v>
      </c>
      <c r="H2" s="3">
        <f>F2*G2</f>
        <v/>
      </c>
      <c r="I2" s="4">
        <f>IF(H2&gt;=15,"critic",IF(H2&gt;=10,"ridicat",IF(H2&gt;=5,"mediu","scăzut")))</f>
        <v/>
      </c>
      <c r="J2" s="2" t="inlineStr">
        <is>
          <t>Atenuare + contingență</t>
        </is>
      </c>
      <c r="K2" s="2" t="inlineStr">
        <is>
          <t>După 1.5.1 (luna M5) compar orele reale cu cele 32 h estimate și re-estimez ramurile 1.5–1.6. Prioritizare MoSCoW: 1.6.5 (jurnal, poze de progres, mementouri) se taie primul, apoi 1.6.4. Plan B: demonstrație cu fluxul de analiză și scannerul, restul descris în teză ca lucru viitor.</t>
        </is>
      </c>
      <c r="L2" s="2" t="inlineStr">
        <is>
          <t>1.5.1 depășește estimarea cu peste 20% (peste 38 h)</t>
        </is>
      </c>
      <c r="M2" s="2" t="inlineStr">
        <is>
          <t>DG</t>
        </is>
      </c>
      <c r="N2" s="2" t="inlineStr">
        <is>
          <t>deschis</t>
        </is>
      </c>
    </row>
    <row r="3">
      <c r="A3" s="2" t="inlineStr">
        <is>
          <t>R2</t>
        </is>
      </c>
      <c r="B3" s="2" t="inlineStr">
        <is>
          <t>E3 Mediu, domeniul de cercetare</t>
        </is>
      </c>
      <c r="C3" s="2" t="inlineStr">
        <is>
          <t>Folosirea SCIN cu metadate și analiza pe tonuri de piele este un subiect activ; o lucrare cu aceeași întrebare poate apărea înainte de trimitere, iar articolul poate fi respins pentru lipsă de noutate.</t>
        </is>
      </c>
      <c r="D3" s="2" t="inlineStr">
        <is>
          <t>1.2.1, 1.8.3</t>
        </is>
      </c>
      <c r="E3" s="2" t="inlineStr">
        <is>
          <t>business</t>
        </is>
      </c>
      <c r="F3" s="3" t="n">
        <v>3</v>
      </c>
      <c r="G3" s="3" t="n">
        <v>5</v>
      </c>
      <c r="H3" s="3">
        <f>F3*G3</f>
        <v/>
      </c>
      <c r="I3" s="4">
        <f>IF(H3&gt;=15,"critic",IF(H3&gt;=10,"ridicat",IF(H3&gt;=5,"mediu","scăzut")))</f>
        <v/>
      </c>
      <c r="J3" s="2" t="inlineStr">
        <is>
          <t>Atenuare + contingență</t>
        </is>
      </c>
      <c r="K3" s="2" t="inlineStr">
        <is>
          <t>Căutarea sistematică (Google Scholar, Semantic Scholar, arXiv) încheiată până la 15.11.2026; alertă săptămânală pe arXiv pentru „SCIN”. Articolul se încadrează ca rezultat negativ riguros (chestionarul nu ajută, explicat prin controale de metodă) plus analiza răspunsurilor lipsă și pe tonuri. Plan B: altă revistă sau un workshop, cu accent pe diferența față de lucrarea nouă.</t>
        </is>
      </c>
      <c r="L3" s="2" t="inlineStr">
        <is>
          <t>O lucrare pe SCIN cu chestionar și rezultate pe tonuri de piele</t>
        </is>
      </c>
      <c r="M3" s="2" t="inlineStr">
        <is>
          <t>DG</t>
        </is>
      </c>
      <c r="N3" s="2" t="inlineStr">
        <is>
          <t>în tratare</t>
        </is>
      </c>
    </row>
    <row r="4">
      <c r="A4" s="2" t="inlineStr">
        <is>
          <t>R3</t>
        </is>
      </c>
      <c r="B4" s="2" t="inlineStr">
        <is>
          <t>E1 Furnizori, servicii externe</t>
        </is>
      </c>
      <c r="C4" s="2" t="inlineStr">
        <is>
          <t>DDI cere înregistrare și acord de utilizare pe Redivis, DermLIP e restricționat pe Hugging Face, iar ponderile PanDerm vin de la autori; accesul poate întârzia, iar E5–E6 rămân incomplete în articol.</t>
        </is>
      </c>
      <c r="D4" s="2" t="inlineStr">
        <is>
          <t>1.4.6</t>
        </is>
      </c>
      <c r="E4" s="2" t="inlineStr">
        <is>
          <t>proiect</t>
        </is>
      </c>
      <c r="F4" s="3" t="n">
        <v>4</v>
      </c>
      <c r="G4" s="3" t="n">
        <v>3</v>
      </c>
      <c r="H4" s="3">
        <f>F4*G4</f>
        <v/>
      </c>
      <c r="I4" s="5">
        <f>IF(H4&gt;=15,"critic",IF(H4&gt;=10,"ridicat",IF(H4&gt;=5,"mediu","scăzut")))</f>
        <v/>
      </c>
      <c r="J4" s="2" t="inlineStr">
        <is>
          <t>Acceptare activă</t>
        </is>
      </c>
      <c r="K4" s="2" t="inlineStr">
        <is>
          <t>Cererile de acces sunt trimise; între timp E5 folosește modele deschise (DINOv2, ViT ImageNet) și Fitzpatrick17k pentru evaluarea externă. Dacă accesul nu vine, DDI și modelele dermatologice trec la lucrul viitor.</t>
        </is>
      </c>
      <c r="L4" s="2" t="inlineStr">
        <is>
          <t>Fără acces până la 15.11.2026</t>
        </is>
      </c>
      <c r="M4" s="2" t="inlineStr">
        <is>
          <t>DG</t>
        </is>
      </c>
      <c r="N4" s="2" t="inlineStr">
        <is>
          <t>în tratare</t>
        </is>
      </c>
    </row>
    <row r="5">
      <c r="A5" s="2" t="inlineStr">
        <is>
          <t>R4</t>
        </is>
      </c>
      <c r="B5" s="2" t="inlineStr">
        <is>
          <t>O1 Reguli și cerințe ale facultății</t>
        </is>
      </c>
      <c r="C5" s="2" t="inlineStr">
        <is>
          <t>Ghidul lucrării de licență și calendarul sesiunii 2027 sunt stabilite de facultate în cursul anului; pot apărea cerințe noi (structura capitolelor, diagrame obligatorii, alt șablon) sau un termen de predare mai devreme, iar capitolele și formatarea tezei trebuie refăcute.</t>
        </is>
      </c>
      <c r="D5" s="2" t="inlineStr">
        <is>
          <t>1.9.4, 1.9.5</t>
        </is>
      </c>
      <c r="E5" s="2" t="inlineStr">
        <is>
          <t>proiect</t>
        </is>
      </c>
      <c r="F5" s="3" t="n">
        <v>3</v>
      </c>
      <c r="G5" s="3" t="n">
        <v>3</v>
      </c>
      <c r="H5" s="3">
        <f>F5*G5</f>
        <v/>
      </c>
      <c r="I5" s="6">
        <f>IF(H5&gt;=15,"critic",IF(H5&gt;=10,"ridicat",IF(H5&gt;=5,"mediu","scăzut")))</f>
        <v/>
      </c>
      <c r="J5" s="2" t="inlineStr">
        <is>
          <t>Atenuare</t>
        </is>
      </c>
      <c r="K5" s="2" t="inlineStr">
        <is>
          <t>Teza se scrie de la început în șablonul oficial al facultății; anunțurile facultății se verifică lunar, la raportul de stare; până la 15.12.2026 se confirmă cu coordonatorul ghidul și termenele pentru 2027; formatarea finală (1.9.4) se programează cu o lună înainte de termen.</t>
        </is>
      </c>
      <c r="L5" s="2" t="inlineStr">
        <is>
          <t>Un ghid nou sau un anunț al facultății cu alte cerințe ori alt termen</t>
        </is>
      </c>
      <c r="M5" s="2" t="inlineStr">
        <is>
          <t>DG</t>
        </is>
      </c>
      <c r="N5" s="2" t="inlineStr">
        <is>
          <t>deschis</t>
        </is>
      </c>
    </row>
    <row r="6">
      <c r="A6" s="2" t="inlineStr">
        <is>
          <t>R5</t>
        </is>
      </c>
      <c r="B6" s="2" t="inlineStr">
        <is>
          <t>T2 Performanță, fiabilitate</t>
        </is>
      </c>
      <c r="C6" s="2" t="inlineStr">
        <is>
          <t>Modelul e antrenat pe SCIN, iar fotografiile din aplicație pot avea altă lumină, altă distanță și alte telefoane; rezultatele pot fi greșite cu încredere mare, iar funcția principală devine nesigură la beta.</t>
        </is>
      </c>
      <c r="D6" s="2" t="inlineStr">
        <is>
          <t>1.4.5, 1.7.5</t>
        </is>
      </c>
      <c r="E6" s="2" t="inlineStr">
        <is>
          <t>produs</t>
        </is>
      </c>
      <c r="F6" s="3" t="n">
        <v>3</v>
      </c>
      <c r="G6" s="3" t="n">
        <v>4</v>
      </c>
      <c r="H6" s="3">
        <f>F6*G6</f>
        <v/>
      </c>
      <c r="I6" s="5">
        <f>IF(H6&gt;=15,"critic",IF(H6&gt;=10,"ridicat",IF(H6&gt;=5,"mediu","scăzut")))</f>
        <v/>
      </c>
      <c r="J6" s="2" t="inlineStr">
        <is>
          <t>Atenuare</t>
        </is>
      </c>
      <c r="K6" s="2" t="inlineStr">
        <is>
          <t>Calibrare și ieșirea „incert” (1.4.5) cu pragul ales pe validare; ghidaj la captura foto și respingerea fotografiilor neclare (1.6.2.1); hartă Grad-CAM afișată; în beta se notează cazurile în care utilizatorul nu e de acord cu rezultatul.</t>
        </is>
      </c>
      <c r="L6" s="2" t="inlineStr">
        <is>
          <t>Peste 30% din analizele din beta ies „incert”</t>
        </is>
      </c>
      <c r="M6" s="2" t="inlineStr">
        <is>
          <t>DG</t>
        </is>
      </c>
      <c r="N6" s="2" t="inlineStr">
        <is>
          <t>deschis</t>
        </is>
      </c>
    </row>
    <row r="7">
      <c r="A7" s="2" t="inlineStr">
        <is>
          <t>R6</t>
        </is>
      </c>
      <c r="B7" s="2" t="inlineStr">
        <is>
          <t>T3 Calitate</t>
        </is>
      </c>
      <c r="C7" s="2" t="inlineStr">
        <is>
          <t>Pielea închisă (eFST V–VI) are în jur de 23 de cazuri de test pe seed; intervalele de încredere sunt largi, iar concluziile pentru RQ3 pot fi contestate de recenzenți.</t>
        </is>
      </c>
      <c r="D7" s="2" t="inlineStr">
        <is>
          <t>1.4.4</t>
        </is>
      </c>
      <c r="E7" s="2" t="inlineStr">
        <is>
          <t>produs</t>
        </is>
      </c>
      <c r="F7" s="3" t="n">
        <v>3</v>
      </c>
      <c r="G7" s="3" t="n">
        <v>3</v>
      </c>
      <c r="H7" s="3">
        <f>F7*G7</f>
        <v/>
      </c>
      <c r="I7" s="6">
        <f>IF(H7&gt;=15,"critic",IF(H7&gt;=10,"ridicat",IF(H7&gt;=5,"mediu","scăzut")))</f>
        <v/>
      </c>
      <c r="J7" s="2" t="inlineStr">
        <is>
          <t>Evitare</t>
        </is>
      </c>
      <c r="K7" s="2" t="inlineStr">
        <is>
          <t>Nu se trag concluzii pe grupe cu sub 30 de cazuri: acestea se raportează descriptiv, iar testele se fac pe grupe agregate și pe 10 seed-uri; Fitzpatrick17k aduce date externe pe tonuri.</t>
        </is>
      </c>
      <c r="L7" s="2" t="inlineStr">
        <is>
          <t>O grupă cu interval de încredere mai larg de 0,20 macro-F1</t>
        </is>
      </c>
      <c r="M7" s="2" t="inlineStr">
        <is>
          <t>DG</t>
        </is>
      </c>
      <c r="N7" s="2" t="inlineStr">
        <is>
          <t>în tratare</t>
        </is>
      </c>
    </row>
    <row r="8">
      <c r="A8" s="2" t="inlineStr">
        <is>
          <t>R7</t>
        </is>
      </c>
      <c r="B8" s="2" t="inlineStr">
        <is>
          <t>E2 Reglementări (GDPR)</t>
        </is>
      </c>
      <c r="C8" s="2" t="inlineStr">
        <is>
          <t>Fotografiile faciale și datele despre piele sunt categorii speciale de date; fără consimțământ explicit și evaluare de impact, beta-ul nu poate folosi fotografii reale, iar aplicația poate fi contestată la susținere.</t>
        </is>
      </c>
      <c r="D8" s="2" t="inlineStr">
        <is>
          <t>1.5.5, 1.7.4</t>
        </is>
      </c>
      <c r="E8" s="2" t="inlineStr">
        <is>
          <t>business</t>
        </is>
      </c>
      <c r="F8" s="3" t="n">
        <v>2</v>
      </c>
      <c r="G8" s="3" t="n">
        <v>5</v>
      </c>
      <c r="H8" s="3">
        <f>F8*G8</f>
        <v/>
      </c>
      <c r="I8" s="5">
        <f>IF(H8&gt;=15,"critic",IF(H8&gt;=10,"ridicat",IF(H8&gt;=5,"mediu","scăzut")))</f>
        <v/>
      </c>
      <c r="J8" s="2" t="inlineStr">
        <is>
          <t>Escaladare + atenuare</t>
        </is>
      </c>
      <c r="K8" s="2" t="inlineStr">
        <is>
          <t>Decizia ține de universitate: coordonatorul consultă responsabilul cu protecția datelor până la 28.02.2027. În aplicație: consimțământ explicit, stocare doar în UE, date minime, export și ștergere completă (1.5.5).</t>
        </is>
      </c>
      <c r="L8" s="2" t="inlineStr">
        <is>
          <t>Observații ale responsabilului cu protecția datelor sau niciun răspuns până la 28.02.2027</t>
        </is>
      </c>
      <c r="M8" s="2" t="inlineStr">
        <is>
          <t>DG (escaladat la SP)</t>
        </is>
      </c>
      <c r="N8" s="2" t="inlineStr">
        <is>
          <t>deschis</t>
        </is>
      </c>
    </row>
    <row r="9">
      <c r="A9" s="2" t="inlineStr">
        <is>
          <t>R8</t>
        </is>
      </c>
      <c r="B9" s="2" t="inlineStr">
        <is>
          <t>E1 Furnizori, servicii externe</t>
        </is>
      </c>
      <c r="C9" s="2" t="inlineStr">
        <is>
          <t>Scannerul depinde de Open Beauty Facts, o bază completată de voluntari; multe produse din România pot lipsi sau pot avea liste de ingrediente incomplete, iar fișa ingredientelor apare goală.</t>
        </is>
      </c>
      <c r="D9" s="2" t="inlineStr">
        <is>
          <t>1.5.3, 1.6.3</t>
        </is>
      </c>
      <c r="E9" s="2" t="inlineStr">
        <is>
          <t>produs</t>
        </is>
      </c>
      <c r="F9" s="3" t="n">
        <v>3</v>
      </c>
      <c r="G9" s="3" t="n">
        <v>3</v>
      </c>
      <c r="H9" s="3">
        <f>F9*G9</f>
        <v/>
      </c>
      <c r="I9" s="6">
        <f>IF(H9&gt;=15,"critic",IF(H9&gt;=10,"ridicat",IF(H9&gt;=5,"mediu","scăzut")))</f>
        <v/>
      </c>
      <c r="J9" s="2" t="inlineStr">
        <is>
          <t>Atenuare</t>
        </is>
      </c>
      <c r="K9" s="2" t="inlineStr">
        <is>
          <t>În M5 se testează 20 de produse din magazine locale; cache local al produselor găsite; plan B: lista de ingrediente se introduce sau se fotografiază și se caută după denumirea INCI în CosIng.</t>
        </is>
      </c>
      <c r="L9" s="2" t="inlineStr">
        <is>
          <t>Sub 60% din cele 20 de produse de test găsite</t>
        </is>
      </c>
      <c r="M9" s="2" t="inlineStr">
        <is>
          <t>DG</t>
        </is>
      </c>
      <c r="N9" s="2" t="inlineStr">
        <is>
          <t>deschis</t>
        </is>
      </c>
    </row>
    <row r="10">
      <c r="A10" s="2" t="inlineStr">
        <is>
          <t>R9</t>
        </is>
      </c>
      <c r="B10" s="2" t="inlineStr">
        <is>
          <t>T1 Tehnologie, infrastructură</t>
        </is>
      </c>
      <c r="C10" s="2" t="inlineStr">
        <is>
          <t>Inferența în cloud și nivelurile gratuite (MongoDB Atlas, stocare S3) au resurse limitate; răspunsul analizei poate depăși 10 s, iar criteriul de acceptare al aplicației nu este îndeplinit.</t>
        </is>
      </c>
      <c r="D10" s="2" t="inlineStr">
        <is>
          <t>1.4.9, 1.10.1</t>
        </is>
      </c>
      <c r="E10" s="2" t="inlineStr">
        <is>
          <t>produs</t>
        </is>
      </c>
      <c r="F10" s="3" t="n">
        <v>2</v>
      </c>
      <c r="G10" s="3" t="n">
        <v>4</v>
      </c>
      <c r="H10" s="3">
        <f>F10*G10</f>
        <v/>
      </c>
      <c r="I10" s="6">
        <f>IF(H10&gt;=15,"critic",IF(H10&gt;=10,"ridicat",IF(H10&gt;=5,"mediu","scăzut")))</f>
        <v/>
      </c>
      <c r="J10" s="2" t="inlineStr">
        <is>
          <t>Transfer + atenuare</t>
        </is>
      </c>
      <c r="K10" s="2" t="inlineStr">
        <is>
          <t>Baza de date, copiile de siguranță și disponibilitatea le asigură furnizorul serviciului gestionat (MongoDB Atlas). Modelul se exportă în ONNX, iar imaginea se micșorează înainte de încărcare; latența se măsoară în M5.</t>
        </is>
      </c>
      <c r="L10" s="2" t="inlineStr">
        <is>
          <t>Mediana timpului de analiză peste 10 s în testul din M5</t>
        </is>
      </c>
      <c r="M10" s="2" t="inlineStr">
        <is>
          <t>DG</t>
        </is>
      </c>
      <c r="N10" s="2" t="inlineStr">
        <is>
          <t>deschis</t>
        </is>
      </c>
    </row>
    <row r="11">
      <c r="A11" s="2" t="inlineStr">
        <is>
          <t>R10</t>
        </is>
      </c>
      <c r="B11" s="2" t="inlineStr">
        <is>
          <t>P2 Comunicare</t>
        </is>
      </c>
      <c r="C11" s="2" t="inlineStr">
        <is>
          <t>Coordonatorul are multe lucrări de revizuit, mai ales înainte de termene; revizia articolului sau a capitolelor poate întârzia, iar aprobarea vine mai târziu decât s-a planificat.</t>
        </is>
      </c>
      <c r="D11" s="2" t="inlineStr">
        <is>
          <t>1.8.3, 1.9.4</t>
        </is>
      </c>
      <c r="E11" s="2" t="inlineStr">
        <is>
          <t>proiect</t>
        </is>
      </c>
      <c r="F11" s="3" t="n">
        <v>2</v>
      </c>
      <c r="G11" s="3" t="n">
        <v>2</v>
      </c>
      <c r="H11" s="3">
        <f>F11*G11</f>
        <v/>
      </c>
      <c r="I11" s="7">
        <f>IF(H11&gt;=15,"critic",IF(H11&gt;=10,"ridicat",IF(H11&gt;=5,"mediu","scăzut")))</f>
        <v/>
      </c>
      <c r="J11" s="2" t="inlineStr">
        <is>
          <t>Acceptare</t>
        </is>
      </c>
      <c r="K11" s="2" t="inlineStr">
        <is>
          <t>Monitorizare; textele se trimit pe bucăți, cu cel puțin două săptămâni înainte de termen; deciziile se confirmă pe e-mail.</t>
        </is>
      </c>
      <c r="L11" s="2" t="inlineStr">
        <is>
          <t>Niciun răspuns după 10 zile</t>
        </is>
      </c>
      <c r="M11" s="2" t="inlineStr">
        <is>
          <t>DG</t>
        </is>
      </c>
      <c r="N11" s="2" t="inlineStr">
        <is>
          <t>deschis</t>
        </is>
      </c>
    </row>
  </sheetData>
  <autoFilter ref="A1:N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Matricea probabilitate × impact (scor = P × I)</t>
        </is>
      </c>
    </row>
    <row r="3">
      <c r="A3" s="9" t="inlineStr">
        <is>
          <t>P ↓ / I →</t>
        </is>
      </c>
      <c r="B3" s="10" t="inlineStr">
        <is>
          <t>1 Nesemnificativ</t>
        </is>
      </c>
      <c r="C3" s="10" t="inlineStr">
        <is>
          <t>2 Minor</t>
        </is>
      </c>
      <c r="D3" s="10" t="inlineStr">
        <is>
          <t>3 Moderat</t>
        </is>
      </c>
      <c r="E3" s="10" t="inlineStr">
        <is>
          <t>4 Serios</t>
        </is>
      </c>
      <c r="F3" s="10" t="inlineStr">
        <is>
          <t>5 Catastrofal</t>
        </is>
      </c>
    </row>
    <row r="4" ht="48" customHeight="1">
      <c r="A4" s="10" t="inlineStr">
        <is>
          <t>5 Foarte înaltă (peste 75%)</t>
        </is>
      </c>
      <c r="B4" s="11" t="inlineStr">
        <is>
          <t>5</t>
        </is>
      </c>
      <c r="C4" s="12" t="inlineStr">
        <is>
          <t>10</t>
        </is>
      </c>
      <c r="D4" s="13" t="inlineStr">
        <is>
          <t>15</t>
        </is>
      </c>
      <c r="E4" s="13" t="inlineStr">
        <is>
          <t>20</t>
        </is>
      </c>
      <c r="F4" s="13" t="inlineStr">
        <is>
          <t>25</t>
        </is>
      </c>
    </row>
    <row r="5" ht="48" customHeight="1">
      <c r="A5" s="10" t="inlineStr">
        <is>
          <t>4 Înaltă (50–75%)</t>
        </is>
      </c>
      <c r="B5" s="14" t="inlineStr">
        <is>
          <t>4</t>
        </is>
      </c>
      <c r="C5" s="11" t="inlineStr">
        <is>
          <t>8</t>
        </is>
      </c>
      <c r="D5" s="15" t="inlineStr">
        <is>
          <t>12
R3</t>
        </is>
      </c>
      <c r="E5" s="16" t="inlineStr">
        <is>
          <t>16
R1</t>
        </is>
      </c>
      <c r="F5" s="13" t="inlineStr">
        <is>
          <t>20</t>
        </is>
      </c>
    </row>
    <row r="6" ht="48" customHeight="1">
      <c r="A6" s="10" t="inlineStr">
        <is>
          <t>3 Moderată (25–50%)</t>
        </is>
      </c>
      <c r="B6" s="14" t="inlineStr">
        <is>
          <t>3</t>
        </is>
      </c>
      <c r="C6" s="11" t="inlineStr">
        <is>
          <t>6</t>
        </is>
      </c>
      <c r="D6" s="17" t="inlineStr">
        <is>
          <t>9
R4 R6 R8</t>
        </is>
      </c>
      <c r="E6" s="15" t="inlineStr">
        <is>
          <t>12
R5</t>
        </is>
      </c>
      <c r="F6" s="16" t="inlineStr">
        <is>
          <t>15
R2</t>
        </is>
      </c>
    </row>
    <row r="7" ht="48" customHeight="1">
      <c r="A7" s="10" t="inlineStr">
        <is>
          <t>2 Scăzută (10–25%)</t>
        </is>
      </c>
      <c r="B7" s="14" t="inlineStr">
        <is>
          <t>2</t>
        </is>
      </c>
      <c r="C7" s="18" t="inlineStr">
        <is>
          <t>4
R10</t>
        </is>
      </c>
      <c r="D7" s="11" t="inlineStr">
        <is>
          <t>6</t>
        </is>
      </c>
      <c r="E7" s="17" t="inlineStr">
        <is>
          <t>8
R9</t>
        </is>
      </c>
      <c r="F7" s="15" t="inlineStr">
        <is>
          <t>10
R7</t>
        </is>
      </c>
    </row>
    <row r="8" ht="48" customHeight="1">
      <c r="A8" s="10" t="inlineStr">
        <is>
          <t>1 Foarte scăzută (sub 10%)</t>
        </is>
      </c>
      <c r="B8" s="14" t="inlineStr">
        <is>
          <t>1</t>
        </is>
      </c>
      <c r="C8" s="14" t="inlineStr">
        <is>
          <t>2</t>
        </is>
      </c>
      <c r="D8" s="14" t="inlineStr">
        <is>
          <t>3</t>
        </is>
      </c>
      <c r="E8" s="14" t="inlineStr">
        <is>
          <t>4</t>
        </is>
      </c>
      <c r="F8" s="11" t="inlineStr">
        <is>
          <t>5</t>
        </is>
      </c>
    </row>
    <row r="10">
      <c r="A10" s="19" t="inlineStr">
        <is>
          <t>critic</t>
        </is>
      </c>
      <c r="B10" t="inlineStr">
        <is>
          <t>15–25: răspuns imediat, responsabil desemnat, discutat la fiecare raport de stare.</t>
        </is>
      </c>
    </row>
    <row r="11">
      <c r="A11" s="20" t="inlineStr">
        <is>
          <t>ridicat</t>
        </is>
      </c>
      <c r="B11" t="inlineStr">
        <is>
          <t>10–14: plan de răspuns obligatoriu, revizuit la fiecare două săptămâni.</t>
        </is>
      </c>
    </row>
    <row r="12">
      <c r="A12" s="21" t="inlineStr">
        <is>
          <t>mediu</t>
        </is>
      </c>
      <c r="B12" t="inlineStr">
        <is>
          <t>5–9: plan de răspuns sau monitorizare atentă.</t>
        </is>
      </c>
    </row>
    <row r="13">
      <c r="A13" s="22" t="inlineStr">
        <is>
          <t>scăzut</t>
        </is>
      </c>
      <c r="B13" t="inlineStr">
        <is>
          <t>1–4: acceptat; rămâne pe lista de urmărire.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4" customWidth="1" min="4" max="4"/>
    <col width="70" customWidth="1" min="5" max="5"/>
  </cols>
  <sheetData>
    <row r="1">
      <c r="A1" s="23" t="inlineStr">
        <is>
          <t>Probabilitate</t>
        </is>
      </c>
      <c r="B1" s="23" t="n"/>
      <c r="C1" s="23" t="n"/>
      <c r="D1" s="23" t="n"/>
      <c r="E1" s="23" t="n"/>
    </row>
    <row r="2">
      <c r="A2" s="23" t="inlineStr">
        <is>
          <t>Nivel</t>
        </is>
      </c>
      <c r="B2" s="23" t="inlineStr">
        <is>
          <t>Denumire</t>
        </is>
      </c>
      <c r="C2" s="23" t="inlineStr">
        <is>
          <t>Probabilitate</t>
        </is>
      </c>
      <c r="D2" s="23" t="inlineStr">
        <is>
          <t>Cum o recunoaștem</t>
        </is>
      </c>
      <c r="E2" s="23" t="n"/>
    </row>
    <row r="3">
      <c r="A3" t="n">
        <v>1</v>
      </c>
      <c r="B3" t="inlineStr">
        <is>
          <t>Foarte scăzută</t>
        </is>
      </c>
      <c r="C3" t="inlineStr">
        <is>
          <t>sub 10%</t>
        </is>
      </c>
      <c r="D3" t="inlineStr">
        <is>
          <t>Nu s-a întâmplat în proiecte asemănătoare.</t>
        </is>
      </c>
    </row>
    <row r="4">
      <c r="A4" t="n">
        <v>2</v>
      </c>
      <c r="B4" t="inlineStr">
        <is>
          <t>Scăzută</t>
        </is>
      </c>
      <c r="C4" t="inlineStr">
        <is>
          <t>10–25%</t>
        </is>
      </c>
      <c r="D4" t="inlineStr">
        <is>
          <t>S-a întâmplat rar.</t>
        </is>
      </c>
    </row>
    <row r="5">
      <c r="A5" t="n">
        <v>3</v>
      </c>
      <c r="B5" t="inlineStr">
        <is>
          <t>Moderată</t>
        </is>
      </c>
      <c r="C5" t="inlineStr">
        <is>
          <t>25–50%</t>
        </is>
      </c>
      <c r="D5" t="inlineStr">
        <is>
          <t>S-a întâmplat în unele proiecte.</t>
        </is>
      </c>
    </row>
    <row r="6">
      <c r="A6" t="n">
        <v>4</v>
      </c>
      <c r="B6" t="inlineStr">
        <is>
          <t>Înaltă</t>
        </is>
      </c>
      <c r="C6" t="inlineStr">
        <is>
          <t>50–75%</t>
        </is>
      </c>
      <c r="D6" t="inlineStr">
        <is>
          <t>Se întâmplă des.</t>
        </is>
      </c>
    </row>
    <row r="7">
      <c r="A7" t="n">
        <v>5</v>
      </c>
      <c r="B7" t="inlineStr">
        <is>
          <t>Foarte înaltă</t>
        </is>
      </c>
      <c r="C7" t="inlineStr">
        <is>
          <t>peste 75%</t>
        </is>
      </c>
      <c r="D7" t="inlineStr">
        <is>
          <t>Aproape sigur, dacă nu facem nimic.</t>
        </is>
      </c>
    </row>
    <row r="9">
      <c r="A9" s="23" t="inlineStr">
        <is>
          <t>Impact (adaptat la 43 de săptămâni și 1.290 h)</t>
        </is>
      </c>
      <c r="B9" s="23" t="n"/>
      <c r="C9" s="23" t="n"/>
      <c r="D9" s="23" t="n"/>
      <c r="E9" s="23" t="n"/>
    </row>
    <row r="10">
      <c r="A10" s="23" t="inlineStr">
        <is>
          <t>Nivel</t>
        </is>
      </c>
      <c r="B10" s="23" t="inlineStr">
        <is>
          <t>Denumire</t>
        </is>
      </c>
      <c r="C10" s="23" t="inlineStr">
        <is>
          <t>Calendar</t>
        </is>
      </c>
      <c r="D10" s="23" t="inlineStr">
        <is>
          <t>Efort</t>
        </is>
      </c>
      <c r="E10" s="23" t="inlineStr">
        <is>
          <t>Domeniu și calitate</t>
        </is>
      </c>
    </row>
    <row r="11">
      <c r="A11" t="n">
        <v>1</v>
      </c>
      <c r="B11" t="inlineStr">
        <is>
          <t>Nesemnificativ</t>
        </is>
      </c>
      <c r="C11" t="inlineStr">
        <is>
          <t>sub 2 zile</t>
        </is>
      </c>
      <c r="D11" t="inlineStr">
        <is>
          <t>sub 8 ore</t>
        </is>
      </c>
      <c r="E11" t="inlineStr">
        <is>
          <t>Niciun efect vizibil asupra livrabilelor</t>
        </is>
      </c>
    </row>
    <row r="12">
      <c r="A12" t="n">
        <v>2</v>
      </c>
      <c r="B12" t="inlineStr">
        <is>
          <t>Minor</t>
        </is>
      </c>
      <c r="C12" t="inlineStr">
        <is>
          <t>până la o săptămână</t>
        </is>
      </c>
      <c r="D12" t="inlineStr">
        <is>
          <t>8–30 ore</t>
        </is>
      </c>
      <c r="E12" t="inlineStr">
        <is>
          <t>Un livrabil intermediar sau o funcție secundară întârzie</t>
        </is>
      </c>
    </row>
    <row r="13">
      <c r="A13" t="n">
        <v>3</v>
      </c>
      <c r="B13" t="inlineStr">
        <is>
          <t>Moderat</t>
        </is>
      </c>
      <c r="C13" t="inlineStr">
        <is>
          <t>1–3 săptămâni</t>
        </is>
      </c>
      <c r="D13" t="inlineStr">
        <is>
          <t>30–80 ore</t>
        </is>
      </c>
      <c r="E13" t="inlineStr">
        <is>
          <t>O funcție secundară sau un rezultat secundar lipsește la predare</t>
        </is>
      </c>
    </row>
    <row r="14">
      <c r="A14" t="n">
        <v>4</v>
      </c>
      <c r="B14" t="inlineStr">
        <is>
          <t>Serios</t>
        </is>
      </c>
      <c r="C14" t="inlineStr">
        <is>
          <t>3–6 săptămâni</t>
        </is>
      </c>
      <c r="D14" t="inlineStr">
        <is>
          <t>80–200 ore</t>
        </is>
      </c>
      <c r="E14" t="inlineStr">
        <is>
          <t>O funcție principală lipsește la termenul O3 (31.03.2027) sau un rezultat principal al articolului e slăbit</t>
        </is>
      </c>
    </row>
    <row r="15">
      <c r="A15" t="n">
        <v>5</v>
      </c>
      <c r="B15" t="inlineStr">
        <is>
          <t>Catastrofal</t>
        </is>
      </c>
      <c r="C15" t="inlineStr">
        <is>
          <t>peste 6 săptămâni</t>
        </is>
      </c>
      <c r="D15" t="inlineStr">
        <is>
          <t>peste 200 ore</t>
        </is>
      </c>
      <c r="E15" t="inlineStr">
        <is>
          <t>Articolul sau teza nu pot fi predate la termen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5" customWidth="1" min="2" max="2"/>
    <col width="7" customWidth="1" min="3" max="3"/>
    <col width="10" customWidth="1" min="4" max="4"/>
    <col width="14" customWidth="1" min="5" max="5"/>
  </cols>
  <sheetData>
    <row r="1">
      <c r="A1" s="1" t="inlineStr">
        <is>
          <t>Cod</t>
        </is>
      </c>
      <c r="B1" s="1" t="inlineStr">
        <is>
          <t>Sursă de risc / risc</t>
        </is>
      </c>
      <c r="C1" s="1" t="inlineStr">
        <is>
          <t>Scor</t>
        </is>
      </c>
      <c r="D1" s="1" t="inlineStr">
        <is>
          <t>Zonă</t>
        </is>
      </c>
      <c r="E1" s="1" t="inlineStr">
        <is>
          <t>WBS</t>
        </is>
      </c>
    </row>
    <row r="2">
      <c r="A2" s="1" t="inlineStr">
        <is>
          <t>T</t>
        </is>
      </c>
      <c r="B2" s="1" t="inlineStr">
        <is>
          <t>Tehnic</t>
        </is>
      </c>
      <c r="C2" s="1" t="inlineStr"/>
      <c r="D2" s="1" t="inlineStr"/>
      <c r="E2" s="1" t="inlineStr"/>
    </row>
    <row r="3">
      <c r="A3" s="24" t="inlineStr">
        <is>
          <t>T1</t>
        </is>
      </c>
      <c r="B3" s="24" t="inlineStr">
        <is>
          <t xml:space="preserve">    Tehnologie, infrastructură</t>
        </is>
      </c>
      <c r="C3" s="24" t="inlineStr"/>
      <c r="D3" s="24" t="inlineStr"/>
      <c r="E3" s="24" t="inlineStr"/>
    </row>
    <row r="4">
      <c r="A4" s="2" t="inlineStr">
        <is>
          <t>R9</t>
        </is>
      </c>
      <c r="B4" s="2" t="inlineStr">
        <is>
          <t xml:space="preserve">        Găzduirea gratuită e prea lentă</t>
        </is>
      </c>
      <c r="C4" s="2" t="n">
        <v>8</v>
      </c>
      <c r="D4" s="2" t="inlineStr">
        <is>
          <t>mediu</t>
        </is>
      </c>
      <c r="E4" s="2" t="inlineStr">
        <is>
          <t>1.4.9, 1.10.1</t>
        </is>
      </c>
    </row>
    <row r="5">
      <c r="A5" s="24" t="inlineStr">
        <is>
          <t>T2</t>
        </is>
      </c>
      <c r="B5" s="24" t="inlineStr">
        <is>
          <t xml:space="preserve">    Performanță, fiabilitate</t>
        </is>
      </c>
      <c r="C5" s="24" t="inlineStr"/>
      <c r="D5" s="24" t="inlineStr"/>
      <c r="E5" s="24" t="inlineStr"/>
    </row>
    <row r="6">
      <c r="A6" s="2" t="inlineStr">
        <is>
          <t>R5</t>
        </is>
      </c>
      <c r="B6" s="2" t="inlineStr">
        <is>
          <t xml:space="preserve">        Modelul greșește pe fotografiile din aplicație</t>
        </is>
      </c>
      <c r="C6" s="2" t="n">
        <v>12</v>
      </c>
      <c r="D6" s="2" t="inlineStr">
        <is>
          <t>ridicat</t>
        </is>
      </c>
      <c r="E6" s="2" t="inlineStr">
        <is>
          <t>1.4.5, 1.7.5</t>
        </is>
      </c>
    </row>
    <row r="7">
      <c r="A7" s="24" t="inlineStr">
        <is>
          <t>T3</t>
        </is>
      </c>
      <c r="B7" s="24" t="inlineStr">
        <is>
          <t xml:space="preserve">    Calitate</t>
        </is>
      </c>
      <c r="C7" s="24" t="inlineStr"/>
      <c r="D7" s="24" t="inlineStr"/>
      <c r="E7" s="24" t="inlineStr"/>
    </row>
    <row r="8">
      <c r="A8" s="2" t="inlineStr">
        <is>
          <t>R6</t>
        </is>
      </c>
      <c r="B8" s="2" t="inlineStr">
        <is>
          <t xml:space="preserve">        Grupele de ton închis sunt prea mici</t>
        </is>
      </c>
      <c r="C8" s="2" t="n">
        <v>9</v>
      </c>
      <c r="D8" s="2" t="inlineStr">
        <is>
          <t>mediu</t>
        </is>
      </c>
      <c r="E8" s="2" t="inlineStr">
        <is>
          <t>1.4.4</t>
        </is>
      </c>
    </row>
    <row r="9">
      <c r="A9" s="1" t="inlineStr">
        <is>
          <t>P</t>
        </is>
      </c>
      <c r="B9" s="1" t="inlineStr">
        <is>
          <t>Managementul proiectului</t>
        </is>
      </c>
      <c r="C9" s="1" t="inlineStr"/>
      <c r="D9" s="1" t="inlineStr"/>
      <c r="E9" s="1" t="inlineStr"/>
    </row>
    <row r="10">
      <c r="A10" s="24" t="inlineStr">
        <is>
          <t>P1</t>
        </is>
      </c>
      <c r="B10" s="24" t="inlineStr">
        <is>
          <t xml:space="preserve">    Estimare</t>
        </is>
      </c>
      <c r="C10" s="24" t="inlineStr"/>
      <c r="D10" s="24" t="inlineStr"/>
      <c r="E10" s="24" t="inlineStr"/>
    </row>
    <row r="11">
      <c r="A11" s="2" t="inlineStr">
        <is>
          <t>R1</t>
        </is>
      </c>
      <c r="B11" s="2" t="inlineStr">
        <is>
          <t xml:space="preserve">        Efortul pentru aplicație e subestimat</t>
        </is>
      </c>
      <c r="C11" s="2" t="n">
        <v>16</v>
      </c>
      <c r="D11" s="2" t="inlineStr">
        <is>
          <t>critic</t>
        </is>
      </c>
      <c r="E11" s="2" t="inlineStr">
        <is>
          <t>1.5, 1.6</t>
        </is>
      </c>
    </row>
    <row r="12">
      <c r="A12" s="24" t="inlineStr">
        <is>
          <t>P2</t>
        </is>
      </c>
      <c r="B12" s="24" t="inlineStr">
        <is>
          <t xml:space="preserve">    Comunicare</t>
        </is>
      </c>
      <c r="C12" s="24" t="inlineStr"/>
      <c r="D12" s="24" t="inlineStr"/>
      <c r="E12" s="24" t="inlineStr"/>
    </row>
    <row r="13">
      <c r="A13" s="2" t="inlineStr">
        <is>
          <t>R10</t>
        </is>
      </c>
      <c r="B13" s="2" t="inlineStr">
        <is>
          <t xml:space="preserve">        Răspunsurile coordonatorului întârzie</t>
        </is>
      </c>
      <c r="C13" s="2" t="n">
        <v>4</v>
      </c>
      <c r="D13" s="2" t="inlineStr">
        <is>
          <t>scăzut</t>
        </is>
      </c>
      <c r="E13" s="2" t="inlineStr">
        <is>
          <t>1.8.3, 1.9.4</t>
        </is>
      </c>
    </row>
    <row r="14">
      <c r="A14" s="1" t="inlineStr">
        <is>
          <t>O</t>
        </is>
      </c>
      <c r="B14" s="1" t="inlineStr">
        <is>
          <t>Organizațional</t>
        </is>
      </c>
      <c r="C14" s="1" t="inlineStr"/>
      <c r="D14" s="1" t="inlineStr"/>
      <c r="E14" s="1" t="inlineStr"/>
    </row>
    <row r="15">
      <c r="A15" s="24" t="inlineStr">
        <is>
          <t>O1</t>
        </is>
      </c>
      <c r="B15" s="24" t="inlineStr">
        <is>
          <t xml:space="preserve">    Reguli și cerințe ale facultății</t>
        </is>
      </c>
      <c r="C15" s="24" t="inlineStr"/>
      <c r="D15" s="24" t="inlineStr"/>
      <c r="E15" s="24" t="inlineStr"/>
    </row>
    <row r="16">
      <c r="A16" s="2" t="inlineStr">
        <is>
          <t>R4</t>
        </is>
      </c>
      <c r="B16" s="2" t="inlineStr">
        <is>
          <t xml:space="preserve">        Facultatea schimbă cerințele pentru licență</t>
        </is>
      </c>
      <c r="C16" s="2" t="n">
        <v>9</v>
      </c>
      <c r="D16" s="2" t="inlineStr">
        <is>
          <t>mediu</t>
        </is>
      </c>
      <c r="E16" s="2" t="inlineStr">
        <is>
          <t>1.9.4, 1.9.5</t>
        </is>
      </c>
    </row>
    <row r="17">
      <c r="A17" s="1" t="inlineStr">
        <is>
          <t>E</t>
        </is>
      </c>
      <c r="B17" s="1" t="inlineStr">
        <is>
          <t>Extern</t>
        </is>
      </c>
      <c r="C17" s="1" t="inlineStr"/>
      <c r="D17" s="1" t="inlineStr"/>
      <c r="E17" s="1" t="inlineStr"/>
    </row>
    <row r="18">
      <c r="A18" s="24" t="inlineStr">
        <is>
          <t>E1</t>
        </is>
      </c>
      <c r="B18" s="24" t="inlineStr">
        <is>
          <t xml:space="preserve">    Furnizori, servicii externe</t>
        </is>
      </c>
      <c r="C18" s="24" t="inlineStr"/>
      <c r="D18" s="24" t="inlineStr"/>
      <c r="E18" s="24" t="inlineStr"/>
    </row>
    <row r="19">
      <c r="A19" s="2" t="inlineStr">
        <is>
          <t>R3</t>
        </is>
      </c>
      <c r="B19" s="2" t="inlineStr">
        <is>
          <t xml:space="preserve">        Accesul la date și modele externe întârzie</t>
        </is>
      </c>
      <c r="C19" s="2" t="n">
        <v>12</v>
      </c>
      <c r="D19" s="2" t="inlineStr">
        <is>
          <t>ridicat</t>
        </is>
      </c>
      <c r="E19" s="2" t="inlineStr">
        <is>
          <t>1.4.6</t>
        </is>
      </c>
    </row>
    <row r="20">
      <c r="A20" s="2" t="inlineStr">
        <is>
          <t>R8</t>
        </is>
      </c>
      <c r="B20" s="2" t="inlineStr">
        <is>
          <t xml:space="preserve">        Baza de produse nu acoperă produsele scanate</t>
        </is>
      </c>
      <c r="C20" s="2" t="n">
        <v>9</v>
      </c>
      <c r="D20" s="2" t="inlineStr">
        <is>
          <t>mediu</t>
        </is>
      </c>
      <c r="E20" s="2" t="inlineStr">
        <is>
          <t>1.5.3, 1.6.3</t>
        </is>
      </c>
    </row>
    <row r="21">
      <c r="A21" s="24" t="inlineStr">
        <is>
          <t>E2</t>
        </is>
      </c>
      <c r="B21" s="24" t="inlineStr">
        <is>
          <t xml:space="preserve">    Reglementări (GDPR)</t>
        </is>
      </c>
      <c r="C21" s="24" t="inlineStr"/>
      <c r="D21" s="24" t="inlineStr"/>
      <c r="E21" s="24" t="inlineStr"/>
    </row>
    <row r="22">
      <c r="A22" s="2" t="inlineStr">
        <is>
          <t>R7</t>
        </is>
      </c>
      <c r="B22" s="2" t="inlineStr">
        <is>
          <t xml:space="preserve">        Prelucrarea fotografiilor nu e conformă GDPR</t>
        </is>
      </c>
      <c r="C22" s="2" t="n">
        <v>10</v>
      </c>
      <c r="D22" s="2" t="inlineStr">
        <is>
          <t>ridicat</t>
        </is>
      </c>
      <c r="E22" s="2" t="inlineStr">
        <is>
          <t>1.5.5, 1.7.4</t>
        </is>
      </c>
    </row>
    <row r="23">
      <c r="A23" s="24" t="inlineStr">
        <is>
          <t>E3</t>
        </is>
      </c>
      <c r="B23" s="24" t="inlineStr">
        <is>
          <t xml:space="preserve">    Mediu, domeniul de cercetare</t>
        </is>
      </c>
      <c r="C23" s="24" t="inlineStr"/>
      <c r="D23" s="24" t="inlineStr"/>
      <c r="E23" s="24" t="inlineStr"/>
    </row>
    <row r="24">
      <c r="A24" s="2" t="inlineStr">
        <is>
          <t>R2</t>
        </is>
      </c>
      <c r="B24" s="2" t="inlineStr">
        <is>
          <t xml:space="preserve">        Apare o lucrare foarte apropiată</t>
        </is>
      </c>
      <c r="C24" s="2" t="n">
        <v>15</v>
      </c>
      <c r="D24" s="2" t="inlineStr">
        <is>
          <t>critic</t>
        </is>
      </c>
      <c r="E24" s="2" t="inlineStr">
        <is>
          <t>1.2.1, 1.8.3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2026-10-24T09:11:07Z</dcterms:created>
  <dcterms:modified xmlns:dcterms="http://purl.org/dc/terms/" xmlns:xsi="http://www.w3.org/2001/XMLSchema-instance" xsi:type="dcterms:W3CDTF">2026-10-24T09:11:07Z</dcterms:modified>
</cp:coreProperties>
</file>